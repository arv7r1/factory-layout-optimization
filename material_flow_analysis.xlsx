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71b3453736f5b4/Desktop/b/"/>
    </mc:Choice>
  </mc:AlternateContent>
  <xr:revisionPtr revIDLastSave="0" documentId="8_{52312F95-EDE5-490F-972D-99B5ED47565A}" xr6:coauthVersionLast="47" xr6:coauthVersionMax="47" xr10:uidLastSave="{00000000-0000-0000-0000-000000000000}"/>
  <bookViews>
    <workbookView xWindow="-108" yWindow="-108" windowWidth="23256" windowHeight="13896" activeTab="2" xr2:uid="{C382CE1D-C5AE-43F2-87CA-A7C7F07AA9F5}"/>
  </bookViews>
  <sheets>
    <sheet name="Layout_Data" sheetId="1" r:id="rId1"/>
    <sheet name="Travel_Analysis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D3" i="2"/>
  <c r="D2" i="2"/>
  <c r="B2" i="2"/>
  <c r="B3" i="2"/>
</calcChain>
</file>

<file path=xl/sharedStrings.xml><?xml version="1.0" encoding="utf-8"?>
<sst xmlns="http://schemas.openxmlformats.org/spreadsheetml/2006/main" count="18" uniqueCount="13">
  <si>
    <t>Layout</t>
  </si>
  <si>
    <t>Distance per Cycle (m)</t>
  </si>
  <si>
    <t>Before Layout</t>
  </si>
  <si>
    <t>After Layout</t>
  </si>
  <si>
    <t>Cycles per Hour</t>
  </si>
  <si>
    <t>Distance per Hour (m)</t>
  </si>
  <si>
    <t>Before</t>
  </si>
  <si>
    <t>After</t>
  </si>
  <si>
    <t>Metric</t>
  </si>
  <si>
    <t>Value</t>
  </si>
  <si>
    <t>Distance Reduction</t>
  </si>
  <si>
    <t>Travel Reduction %</t>
  </si>
  <si>
    <t>Distance/hr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</si>
</sst>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Operator Travel Distance Reduction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Distance/hr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Charts!$A$3:$A$4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Charts!$B$3:$B$4</c:f>
              <c:numCache>
                <c:formatCode>General</c:formatCode>
                <c:ptCount val="2"/>
                <c:pt idx="0">
                  <c:v>1818.6</c:v>
                </c:pt>
                <c:pt idx="1">
                  <c:v>499.6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F-48ED-9B43-FF9D0D787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42079"/>
        <c:axId val="443043519"/>
      </c:barChart>
      <c:catAx>
        <c:axId val="44304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43519"/>
        <c:crosses val="autoZero"/>
        <c:auto val="1"/>
        <c:lblAlgn val="ctr"/>
        <c:lblOffset val="100"/>
        <c:noMultiLvlLbl val="0"/>
      </c:catAx>
      <c:valAx>
        <c:axId val="4430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4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1</xdr:row>
      <xdr:rowOff>64770</xdr:rowOff>
    </xdr:from>
    <xdr:to>
      <xdr:col>12</xdr:col>
      <xdr:colOff>106680</xdr:colOff>
      <xdr:row>15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AB743-775E-7227-0B5E-D8DFB2275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18</xdr:row>
      <xdr:rowOff>68580</xdr:rowOff>
    </xdr:from>
    <xdr:to>
      <xdr:col>10</xdr:col>
      <xdr:colOff>358140</xdr:colOff>
      <xdr:row>31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C45812-556E-154A-36A3-302501D2184A}"/>
            </a:ext>
          </a:extLst>
        </xdr:cNvPr>
        <xdr:cNvSpPr txBox="1"/>
      </xdr:nvSpPr>
      <xdr:spPr>
        <a:xfrm>
          <a:off x="2705100" y="3543300"/>
          <a:ext cx="3749040" cy="24536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chemeClr val="tx1"/>
            </a:solidFill>
          </a:endParaRPr>
        </a:p>
        <a:p>
          <a:r>
            <a:rPr lang="en-US" sz="1100" b="1">
              <a:solidFill>
                <a:schemeClr val="tx1"/>
              </a:solidFill>
            </a:rPr>
            <a:t>• The initial layout required operators to travel approximately</a:t>
          </a:r>
        </a:p>
        <a:p>
          <a:r>
            <a:rPr lang="en-US" sz="1100" b="1">
              <a:solidFill>
                <a:schemeClr val="tx1"/>
              </a:solidFill>
            </a:rPr>
            <a:t>  90.93 meters per production cycle.</a:t>
          </a:r>
        </a:p>
        <a:p>
          <a:endParaRPr lang="en-US" sz="1100" b="1">
            <a:solidFill>
              <a:schemeClr val="tx1"/>
            </a:solidFill>
          </a:endParaRPr>
        </a:p>
        <a:p>
          <a:r>
            <a:rPr lang="en-US" sz="1100" b="1">
              <a:solidFill>
                <a:schemeClr val="tx1"/>
              </a:solidFill>
            </a:rPr>
            <a:t>• With an estimated 20 production cycles per hour,</a:t>
          </a:r>
        </a:p>
        <a:p>
          <a:r>
            <a:rPr lang="en-US" sz="1100" b="1">
              <a:solidFill>
                <a:schemeClr val="tx1"/>
              </a:solidFill>
            </a:rPr>
            <a:t>  operators traveled approximately 1.82 km per hour.</a:t>
          </a:r>
        </a:p>
        <a:p>
          <a:endParaRPr lang="en-US" sz="1100" b="1">
            <a:solidFill>
              <a:schemeClr val="tx1"/>
            </a:solidFill>
          </a:endParaRPr>
        </a:p>
        <a:p>
          <a:r>
            <a:rPr lang="en-US" sz="1100" b="1">
              <a:solidFill>
                <a:schemeClr val="tx1"/>
              </a:solidFill>
            </a:rPr>
            <a:t>• The optimized layout aligned workstations according to</a:t>
          </a:r>
        </a:p>
        <a:p>
          <a:r>
            <a:rPr lang="en-US" sz="1100" b="1">
              <a:solidFill>
                <a:schemeClr val="tx1"/>
              </a:solidFill>
            </a:rPr>
            <a:t>  process flow, reducing travel distance to 24.98 meters</a:t>
          </a:r>
        </a:p>
        <a:p>
          <a:r>
            <a:rPr lang="en-US" sz="1100" b="1">
              <a:solidFill>
                <a:schemeClr val="tx1"/>
              </a:solidFill>
            </a:rPr>
            <a:t>  per cycle.</a:t>
          </a:r>
        </a:p>
        <a:p>
          <a:endParaRPr lang="en-US" sz="1100" b="1">
            <a:solidFill>
              <a:schemeClr val="tx1"/>
            </a:solidFill>
          </a:endParaRPr>
        </a:p>
        <a:p>
          <a:r>
            <a:rPr lang="en-US" sz="1100" b="1">
              <a:solidFill>
                <a:schemeClr val="tx1"/>
              </a:solidFill>
            </a:rPr>
            <a:t>• The redesign reduced operator travel distance by</a:t>
          </a:r>
        </a:p>
        <a:p>
          <a:r>
            <a:rPr lang="en-US" sz="1100" b="1">
              <a:solidFill>
                <a:schemeClr val="tx1"/>
              </a:solidFill>
            </a:rPr>
            <a:t>  approximately 72.5%, significantly improving material flow.</a:t>
          </a:r>
        </a:p>
      </xdr:txBody>
    </xdr:sp>
    <xdr:clientData/>
  </xdr:twoCellAnchor>
  <xdr:twoCellAnchor>
    <xdr:from>
      <xdr:col>4</xdr:col>
      <xdr:colOff>236220</xdr:colOff>
      <xdr:row>16</xdr:row>
      <xdr:rowOff>83820</xdr:rowOff>
    </xdr:from>
    <xdr:to>
      <xdr:col>10</xdr:col>
      <xdr:colOff>365760</xdr:colOff>
      <xdr:row>18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7CC18B-41EE-F963-D85A-B4931705E400}"/>
            </a:ext>
          </a:extLst>
        </xdr:cNvPr>
        <xdr:cNvSpPr txBox="1"/>
      </xdr:nvSpPr>
      <xdr:spPr>
        <a:xfrm>
          <a:off x="2674620" y="3192780"/>
          <a:ext cx="3787140" cy="32766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KEY FINDINGS</a:t>
          </a:r>
        </a:p>
      </xdr:txBody>
    </xdr:sp>
    <xdr:clientData/>
  </xdr:twoCellAnchor>
  <xdr:twoCellAnchor>
    <xdr:from>
      <xdr:col>10</xdr:col>
      <xdr:colOff>457200</xdr:colOff>
      <xdr:row>18</xdr:row>
      <xdr:rowOff>68580</xdr:rowOff>
    </xdr:from>
    <xdr:to>
      <xdr:col>16</xdr:col>
      <xdr:colOff>548640</xdr:colOff>
      <xdr:row>31</xdr:row>
      <xdr:rowOff>144780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EB257E-12E4-41DE-87F0-B0B70B737957}"/>
            </a:ext>
          </a:extLst>
        </xdr:cNvPr>
        <xdr:cNvSpPr txBox="1"/>
      </xdr:nvSpPr>
      <xdr:spPr>
        <a:xfrm>
          <a:off x="6553200" y="3543300"/>
          <a:ext cx="3749040" cy="24536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chemeClr val="tx1"/>
            </a:solidFill>
          </a:endParaRPr>
        </a:p>
        <a:p>
          <a:r>
            <a:rPr lang="en-US" b="1"/>
            <a:t>• Arrange workstations according to process sequence</a:t>
          </a:r>
          <a:br>
            <a:rPr lang="en-US" b="1"/>
          </a:br>
          <a:r>
            <a:rPr lang="en-US" b="1"/>
            <a:t>• Minimize cross-traffic between stations</a:t>
          </a:r>
          <a:br>
            <a:rPr lang="en-US" b="1"/>
          </a:br>
          <a:r>
            <a:rPr lang="en-US" b="1"/>
            <a:t>• Reduce unnecessary operator walking distances</a:t>
          </a:r>
          <a:br>
            <a:rPr lang="en-US" b="1"/>
          </a:br>
          <a:r>
            <a:rPr lang="en-US" b="1"/>
            <a:t>• Maintain clear aisle spacing to support efficient movement</a:t>
          </a:r>
          <a:br>
            <a:rPr lang="en-US" b="1"/>
          </a:br>
          <a:r>
            <a:rPr lang="en-US" b="1"/>
            <a:t>• Implement linear or U-shaped layouts for improved workflow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441960</xdr:colOff>
      <xdr:row>16</xdr:row>
      <xdr:rowOff>83820</xdr:rowOff>
    </xdr:from>
    <xdr:to>
      <xdr:col>16</xdr:col>
      <xdr:colOff>571500</xdr:colOff>
      <xdr:row>18</xdr:row>
      <xdr:rowOff>45720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08B54A-2B80-400B-9F04-F51AACF59D1D}"/>
            </a:ext>
          </a:extLst>
        </xdr:cNvPr>
        <xdr:cNvSpPr txBox="1"/>
      </xdr:nvSpPr>
      <xdr:spPr>
        <a:xfrm>
          <a:off x="6537960" y="3192780"/>
          <a:ext cx="3787140" cy="32766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RECOMMENDATIONS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F4B9-360A-4AB0-92DC-6AC06A73DC77}">
  <dimension ref="A1:B3"/>
  <sheetViews>
    <sheetView workbookViewId="0">
      <selection activeCell="B1" sqref="B1"/>
    </sheetView>
  </sheetViews>
  <sheetFormatPr defaultRowHeight="14.4" x14ac:dyDescent="0.3"/>
  <cols>
    <col min="1" max="2" width="11.33203125" customWidth="1"/>
  </cols>
  <sheetData>
    <row r="1" spans="1:2" ht="43.2" x14ac:dyDescent="0.3">
      <c r="A1" s="1" t="s">
        <v>0</v>
      </c>
      <c r="B1" s="1" t="s">
        <v>1</v>
      </c>
    </row>
    <row r="2" spans="1:2" ht="28.8" x14ac:dyDescent="0.3">
      <c r="A2" s="3" t="s">
        <v>2</v>
      </c>
      <c r="B2" s="3">
        <v>90.93</v>
      </c>
    </row>
    <row r="3" spans="1:2" x14ac:dyDescent="0.3">
      <c r="A3" s="3" t="s">
        <v>3</v>
      </c>
      <c r="B3" s="3">
        <v>24.98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3BBD-D1B4-4ED8-B8AD-CEAD22B8AF04}">
  <dimension ref="A1:D9"/>
  <sheetViews>
    <sheetView workbookViewId="0">
      <selection activeCell="B10" sqref="B10"/>
    </sheetView>
  </sheetViews>
  <sheetFormatPr defaultRowHeight="14.4" x14ac:dyDescent="0.3"/>
  <cols>
    <col min="1" max="1" width="9.77734375" customWidth="1"/>
    <col min="2" max="2" width="11.5546875" bestFit="1" customWidth="1"/>
  </cols>
  <sheetData>
    <row r="1" spans="1:4" ht="43.2" x14ac:dyDescent="0.3">
      <c r="A1" s="1" t="s">
        <v>0</v>
      </c>
      <c r="B1" s="1" t="s">
        <v>1</v>
      </c>
      <c r="C1" s="1" t="s">
        <v>4</v>
      </c>
      <c r="D1" s="1" t="s">
        <v>5</v>
      </c>
    </row>
    <row r="2" spans="1:4" x14ac:dyDescent="0.3">
      <c r="A2" s="2" t="s">
        <v>6</v>
      </c>
      <c r="B2" s="2">
        <f>Layout_Data!B2</f>
        <v>90.93</v>
      </c>
      <c r="C2" s="2">
        <v>20</v>
      </c>
      <c r="D2" s="2">
        <f>C2*B2</f>
        <v>1818.6000000000001</v>
      </c>
    </row>
    <row r="3" spans="1:4" x14ac:dyDescent="0.3">
      <c r="A3" s="2" t="s">
        <v>7</v>
      </c>
      <c r="B3" s="2">
        <f>Layout_Data!B3</f>
        <v>24.98</v>
      </c>
      <c r="C3" s="2">
        <v>20</v>
      </c>
      <c r="D3" s="2">
        <f>C3*B3</f>
        <v>499.6</v>
      </c>
    </row>
    <row r="7" spans="1:4" x14ac:dyDescent="0.3">
      <c r="A7" s="1" t="s">
        <v>8</v>
      </c>
      <c r="B7" s="1" t="s">
        <v>9</v>
      </c>
    </row>
    <row r="8" spans="1:4" ht="43.2" x14ac:dyDescent="0.3">
      <c r="A8" s="3" t="s">
        <v>10</v>
      </c>
      <c r="B8" s="3">
        <f>B2*C2 - B3*C3</f>
        <v>1319</v>
      </c>
    </row>
    <row r="9" spans="1:4" ht="43.2" x14ac:dyDescent="0.3">
      <c r="A9" s="3" t="s">
        <v>11</v>
      </c>
      <c r="B9" s="3">
        <f>(D2-D3)/D2*100</f>
        <v>72.528318486748049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8C01-E871-4E9D-A673-B2A129067E51}">
  <dimension ref="A1:B4"/>
  <sheetViews>
    <sheetView tabSelected="1" workbookViewId="0">
      <selection activeCell="P9" sqref="P9"/>
    </sheetView>
  </sheetViews>
  <sheetFormatPr defaultRowHeight="14.4" x14ac:dyDescent="0.3"/>
  <sheetData>
    <row r="1" spans="1:2" x14ac:dyDescent="0.3">
      <c r="A1" s="4"/>
    </row>
    <row r="2" spans="1:2" ht="28.8" x14ac:dyDescent="0.3">
      <c r="A2" s="1" t="s">
        <v>0</v>
      </c>
      <c r="B2" s="1" t="s">
        <v>12</v>
      </c>
    </row>
    <row r="3" spans="1:2" x14ac:dyDescent="0.3">
      <c r="A3" s="2" t="s">
        <v>6</v>
      </c>
      <c r="B3" s="2">
        <v>1818.6</v>
      </c>
    </row>
    <row r="4" spans="1:2" x14ac:dyDescent="0.3">
      <c r="A4" s="2" t="s">
        <v>7</v>
      </c>
      <c r="B4" s="2">
        <v>499.6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Layout_Data</vt:lpstr>
      <vt:lpstr>Travel_Analysis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Ravi</dc:creator>
  <cp:lastModifiedBy>aravind Ravi</cp:lastModifiedBy>
  <dcterms:created xsi:type="dcterms:W3CDTF">2026-03-06T14:50:48Z</dcterms:created>
  <dcterms:modified xsi:type="dcterms:W3CDTF">2026-03-06T15:15:53Z</dcterms:modified>
</cp:coreProperties>
</file>